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T:\ben yosef\לקוחות הלוואות 2024\בן יוסף\צמיגי נעמן\05-02-2025\"/>
    </mc:Choice>
  </mc:AlternateContent>
  <xr:revisionPtr revIDLastSave="0" documentId="13_ncr:1_{D1717264-CB55-46BF-A07E-F375E287624D}" xr6:coauthVersionLast="47" xr6:coauthVersionMax="47" xr10:uidLastSave="{00000000-0000-0000-0000-000000000000}"/>
  <bookViews>
    <workbookView xWindow="1536" yWindow="624" windowWidth="20628" windowHeight="16656" xr2:uid="{6EBF7A1F-6E74-49C3-A5CA-0211AF85779F}"/>
  </bookViews>
  <sheets>
    <sheet name="לוח 6 תשלומים" sheetId="4" r:id="rId1"/>
  </sheets>
  <definedNames>
    <definedName name="_xlnm.Print_Area" localSheetId="0">'לוח 6 תשלומים'!$A$1:$L$20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4" l="1"/>
  <c r="J15" i="4"/>
  <c r="M15" i="4"/>
  <c r="N15" i="4"/>
  <c r="N17" i="4"/>
  <c r="N16" i="4"/>
  <c r="N14" i="4"/>
  <c r="N13" i="4"/>
  <c r="N12" i="4"/>
  <c r="C12" i="4"/>
  <c r="E11" i="4"/>
  <c r="B11" i="4"/>
  <c r="N11" i="4" s="1"/>
  <c r="N10" i="4"/>
  <c r="M10" i="4"/>
  <c r="P7" i="4"/>
  <c r="P3" i="4"/>
  <c r="P5" i="4" s="1"/>
  <c r="J16" i="4" l="1"/>
  <c r="J11" i="4"/>
  <c r="J12" i="4"/>
  <c r="J13" i="4"/>
  <c r="J14" i="4"/>
  <c r="P4" i="4"/>
  <c r="D12" i="4"/>
  <c r="K11" i="4" l="1"/>
  <c r="M16" i="4"/>
  <c r="M13" i="4"/>
  <c r="F12" i="4"/>
  <c r="K12" i="4"/>
  <c r="L12" i="4" s="1"/>
  <c r="M12" i="4"/>
  <c r="M11" i="4"/>
  <c r="M14" i="4"/>
  <c r="G12" i="4" l="1"/>
  <c r="H12" i="4" s="1"/>
  <c r="I12" i="4" l="1"/>
  <c r="C13" i="4" s="1"/>
  <c r="D13" i="4" l="1"/>
  <c r="K13" i="4" l="1"/>
  <c r="F13" i="4"/>
  <c r="G13" i="4" l="1"/>
  <c r="H13" i="4" s="1"/>
  <c r="L13" i="4"/>
  <c r="I13" i="4" l="1"/>
  <c r="C14" i="4" s="1"/>
  <c r="D14" i="4" l="1"/>
  <c r="K14" i="4" l="1"/>
  <c r="F14" i="4"/>
  <c r="G14" i="4" l="1"/>
  <c r="H14" i="4" s="1"/>
  <c r="L14" i="4"/>
  <c r="I14" i="4" l="1"/>
  <c r="C15" i="4" s="1"/>
  <c r="D15" i="4" s="1"/>
  <c r="F15" i="4" l="1"/>
  <c r="G15" i="4" s="1"/>
  <c r="K15" i="4"/>
  <c r="L15" i="4" s="1"/>
  <c r="H15" i="4" l="1"/>
  <c r="I15" i="4" s="1"/>
  <c r="C16" i="4" s="1"/>
  <c r="D16" i="4" s="1"/>
  <c r="F16" i="4" s="1"/>
  <c r="K16" i="4" l="1"/>
  <c r="L16" i="4" s="1"/>
  <c r="G16" i="4"/>
  <c r="H16" i="4" s="1"/>
  <c r="I16" i="4" l="1"/>
  <c r="C17" i="4" s="1"/>
  <c r="D17" i="4" l="1"/>
  <c r="D20" i="4" l="1"/>
  <c r="E17" i="4"/>
  <c r="J17" i="4" l="1"/>
  <c r="M17" i="4" s="1"/>
  <c r="P6" i="4" s="1"/>
  <c r="F17" i="4"/>
  <c r="E20" i="4"/>
  <c r="G17" i="4" l="1"/>
  <c r="G20" i="4" s="1"/>
  <c r="F20" i="4"/>
  <c r="J20" i="4"/>
  <c r="P8" i="4" s="1"/>
  <c r="P9" i="4" s="1"/>
  <c r="K17" i="4"/>
  <c r="H17" i="4" l="1"/>
  <c r="I17" i="4" s="1"/>
  <c r="L17" i="4"/>
  <c r="H20" i="4" l="1"/>
  <c r="L20" i="4" l="1"/>
  <c r="K20" i="4"/>
  <c r="N3" i="4" s="1"/>
</calcChain>
</file>

<file path=xl/sharedStrings.xml><?xml version="1.0" encoding="utf-8"?>
<sst xmlns="http://schemas.openxmlformats.org/spreadsheetml/2006/main" count="38" uniqueCount="36">
  <si>
    <t>מע"מ</t>
  </si>
  <si>
    <t>ריבית נומינלית שנתית</t>
  </si>
  <si>
    <t>סכום שיועבר ללקוח</t>
  </si>
  <si>
    <t>סה"כ מע"מ</t>
  </si>
  <si>
    <t>ריבית אפקטיבית שנתית</t>
  </si>
  <si>
    <t>ימי ערך</t>
  </si>
  <si>
    <t>ריבית אפקטיבית חודשית</t>
  </si>
  <si>
    <t>תקופת המימון (חודשים)</t>
  </si>
  <si>
    <t>ריבית אפקטיבית יומית</t>
  </si>
  <si>
    <t>מועד ביצוע העסקה</t>
  </si>
  <si>
    <t>IRR</t>
  </si>
  <si>
    <t>הכנסות מעמלות</t>
  </si>
  <si>
    <t>הכנסות מימון</t>
  </si>
  <si>
    <t>תזמז</t>
  </si>
  <si>
    <t>סה"כ הכנסות</t>
  </si>
  <si>
    <t># תשלום</t>
  </si>
  <si>
    <t>תאריך</t>
  </si>
  <si>
    <t>יתרה</t>
  </si>
  <si>
    <t>הוצאות מימון</t>
  </si>
  <si>
    <t>סילוקין ללא מע"מ</t>
  </si>
  <si>
    <t>תשלום ע"ח מימון</t>
  </si>
  <si>
    <t>תשלום ע"ח קרן</t>
  </si>
  <si>
    <t>תוספת (גריעה) קרן</t>
  </si>
  <si>
    <t>יתרת קרן עדכנית</t>
  </si>
  <si>
    <t>תשלום בגין ימי ערך</t>
  </si>
  <si>
    <t>לוח סילוקין כולל מע"מ</t>
  </si>
  <si>
    <t xml:space="preserve">מותנה באישור וועדת אשראי </t>
  </si>
  <si>
    <t xml:space="preserve">תקף ל 5 ימים </t>
  </si>
  <si>
    <t xml:space="preserve">טל"ח </t>
  </si>
  <si>
    <t>שם הלקוח</t>
  </si>
  <si>
    <t xml:space="preserve">   עמלת הקמה במזומן (₪)</t>
  </si>
  <si>
    <t>צמיגי נעמן ייבוא ושיווק (1988) בע"מ</t>
  </si>
  <si>
    <t>עמלת הקצאת אשראי ללא בטוחות  %</t>
  </si>
  <si>
    <t>ריבית פיגורים</t>
  </si>
  <si>
    <t>דמי טיפול בממסר (בש"ח)</t>
  </si>
  <si>
    <t>לוח סילוקין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</si>
</sst>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₪&quot;\ #,##0;[Red]&quot;₪&quot;\ \-#,##0"/>
    <numFmt numFmtId="164" formatCode="&quot;₪&quot;\ #,##0"/>
  </numFmts>
  <fonts count="7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1"/>
      <name val="David"/>
      <family val="2"/>
    </font>
    <font>
      <sz val="14"/>
      <color theme="1"/>
      <name val="David"/>
      <family val="2"/>
    </font>
    <font>
      <sz val="14"/>
      <color theme="1"/>
      <name val="Arial"/>
      <family val="2"/>
      <charset val="177"/>
      <scheme val="minor"/>
    </font>
    <font>
      <b/>
      <sz val="16"/>
      <color theme="1"/>
      <name val="David"/>
      <family val="2"/>
    </font>
    <font>
      <sz val="16"/>
      <color theme="1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readingOrder="2"/>
    </xf>
    <xf numFmtId="0" fontId="3" fillId="0" borderId="0" xfId="0" applyFont="1" applyAlignment="1">
      <alignment horizontal="center" readingOrder="2"/>
    </xf>
    <xf numFmtId="9" fontId="3" fillId="0" borderId="0" xfId="0" applyNumberFormat="1" applyFont="1" applyAlignment="1">
      <alignment horizontal="center" readingOrder="2"/>
    </xf>
    <xf numFmtId="10" fontId="3" fillId="2" borderId="0" xfId="0" applyNumberFormat="1" applyFont="1" applyFill="1" applyAlignment="1">
      <alignment horizontal="center" readingOrder="2"/>
    </xf>
    <xf numFmtId="10" fontId="3" fillId="0" borderId="0" xfId="0" applyNumberFormat="1" applyFont="1" applyAlignment="1">
      <alignment horizontal="center" readingOrder="2"/>
    </xf>
    <xf numFmtId="3" fontId="3" fillId="0" borderId="0" xfId="0" applyNumberFormat="1" applyFont="1" applyAlignment="1">
      <alignment horizontal="center" readingOrder="2"/>
    </xf>
    <xf numFmtId="0" fontId="4" fillId="0" borderId="0" xfId="0" applyFont="1" applyAlignment="1">
      <alignment horizontal="center" readingOrder="2"/>
    </xf>
    <xf numFmtId="3" fontId="2" fillId="0" borderId="0" xfId="0" applyNumberFormat="1" applyFont="1" applyAlignment="1">
      <alignment horizontal="center" readingOrder="2"/>
    </xf>
    <xf numFmtId="14" fontId="3" fillId="0" borderId="0" xfId="0" applyNumberFormat="1" applyFont="1" applyAlignment="1">
      <alignment horizontal="center" readingOrder="2"/>
    </xf>
    <xf numFmtId="0" fontId="2" fillId="0" borderId="0" xfId="0" applyFont="1" applyAlignment="1">
      <alignment horizontal="center" wrapText="1" readingOrder="2"/>
    </xf>
    <xf numFmtId="3" fontId="3" fillId="0" borderId="0" xfId="0" applyNumberFormat="1" applyFont="1" applyAlignment="1">
      <alignment horizontal="center" wrapText="1" readingOrder="2"/>
    </xf>
    <xf numFmtId="14" fontId="3" fillId="0" borderId="0" xfId="0" applyNumberFormat="1" applyFont="1" applyAlignment="1">
      <alignment horizontal="center" wrapText="1" readingOrder="2"/>
    </xf>
    <xf numFmtId="0" fontId="3" fillId="0" borderId="0" xfId="0" applyFont="1" applyAlignment="1">
      <alignment horizontal="center" wrapText="1" readingOrder="2"/>
    </xf>
    <xf numFmtId="0" fontId="5" fillId="0" borderId="0" xfId="0" applyFont="1" applyAlignment="1">
      <alignment horizontal="center" readingOrder="2"/>
    </xf>
    <xf numFmtId="0" fontId="6" fillId="0" borderId="0" xfId="0" applyFont="1" applyAlignment="1">
      <alignment horizontal="center" readingOrder="2"/>
    </xf>
    <xf numFmtId="0" fontId="6" fillId="0" borderId="0" xfId="0" applyFont="1" applyAlignment="1">
      <alignment horizontal="right" readingOrder="2"/>
    </xf>
    <xf numFmtId="10" fontId="6" fillId="2" borderId="0" xfId="0" applyNumberFormat="1" applyFont="1" applyFill="1" applyAlignment="1">
      <alignment horizontal="center" readingOrder="2"/>
    </xf>
    <xf numFmtId="3" fontId="6" fillId="0" borderId="0" xfId="0" applyNumberFormat="1" applyFont="1" applyAlignment="1">
      <alignment horizontal="center" readingOrder="2"/>
    </xf>
    <xf numFmtId="1" fontId="6" fillId="2" borderId="0" xfId="0" applyNumberFormat="1" applyFont="1" applyFill="1" applyAlignment="1">
      <alignment horizontal="center" readingOrder="2"/>
    </xf>
    <xf numFmtId="9" fontId="6" fillId="0" borderId="0" xfId="1" applyFont="1" applyAlignment="1">
      <alignment horizontal="center" readingOrder="2"/>
    </xf>
    <xf numFmtId="4" fontId="5" fillId="0" borderId="0" xfId="0" applyNumberFormat="1" applyFont="1" applyAlignment="1">
      <alignment horizontal="center" readingOrder="2"/>
    </xf>
    <xf numFmtId="3" fontId="6" fillId="2" borderId="0" xfId="0" applyNumberFormat="1" applyFont="1" applyFill="1" applyAlignment="1">
      <alignment horizontal="center" readingOrder="2"/>
    </xf>
    <xf numFmtId="3" fontId="5" fillId="0" borderId="0" xfId="0" applyNumberFormat="1" applyFont="1" applyAlignment="1">
      <alignment horizontal="center" readingOrder="2"/>
    </xf>
    <xf numFmtId="14" fontId="6" fillId="2" borderId="0" xfId="0" applyNumberFormat="1" applyFont="1" applyFill="1" applyAlignment="1">
      <alignment horizontal="center" readingOrder="2"/>
    </xf>
    <xf numFmtId="0" fontId="5" fillId="3" borderId="0" xfId="0" applyFont="1" applyFill="1" applyAlignment="1">
      <alignment horizontal="right" readingOrder="2"/>
    </xf>
    <xf numFmtId="164" fontId="6" fillId="0" borderId="0" xfId="0" applyNumberFormat="1" applyFont="1" applyAlignment="1">
      <alignment horizontal="center" readingOrder="1"/>
    </xf>
    <xf numFmtId="9" fontId="6" fillId="0" borderId="0" xfId="0" applyNumberFormat="1" applyFont="1" applyAlignment="1">
      <alignment horizontal="center" readingOrder="2"/>
    </xf>
    <xf numFmtId="0" fontId="5" fillId="0" borderId="0" xfId="0" applyFont="1" applyAlignment="1">
      <alignment horizontal="center" wrapText="1" readingOrder="2"/>
    </xf>
    <xf numFmtId="0" fontId="5" fillId="2" borderId="0" xfId="0" applyFont="1" applyFill="1" applyAlignment="1">
      <alignment horizontal="center" wrapText="1" readingOrder="2"/>
    </xf>
    <xf numFmtId="0" fontId="6" fillId="0" borderId="0" xfId="0" applyFont="1" applyAlignment="1">
      <alignment horizontal="right" wrapText="1" readingOrder="2"/>
    </xf>
    <xf numFmtId="3" fontId="6" fillId="2" borderId="0" xfId="0" applyNumberFormat="1" applyFont="1" applyFill="1" applyAlignment="1">
      <alignment horizontal="center" vertical="center" wrapText="1" readingOrder="2"/>
    </xf>
    <xf numFmtId="10" fontId="6" fillId="2" borderId="0" xfId="0" applyNumberFormat="1" applyFont="1" applyFill="1" applyAlignment="1">
      <alignment horizontal="center" readingOrder="2"/>
    </xf>
    <xf numFmtId="0" fontId="6" fillId="2" borderId="0" xfId="0" applyFont="1" applyFill="1" applyAlignment="1">
      <alignment horizontal="center" readingOrder="2"/>
    </xf>
    <xf numFmtId="6" fontId="5" fillId="2" borderId="0" xfId="0" applyNumberFormat="1" applyFont="1" applyFill="1" applyAlignment="1">
      <alignment horizontal="right" wrapText="1" readingOrder="2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3473-AA43-47A9-8C82-2B29404905E5}">
  <sheetPr>
    <pageSetUpPr fitToPage="1"/>
  </sheetPr>
  <dimension ref="A1:R59"/>
  <sheetViews>
    <sheetView rightToLeft="1" tabSelected="1" view="pageBreakPreview" zoomScale="70" zoomScaleNormal="100" zoomScaleSheetLayoutView="70" workbookViewId="0">
      <selection activeCell="K11" sqref="K11"/>
    </sheetView>
  </sheetViews>
  <sheetFormatPr defaultColWidth="18.19921875" defaultRowHeight="18" x14ac:dyDescent="0.35"/>
  <cols>
    <col min="1" max="1" width="27.3984375" style="2" customWidth="1"/>
    <col min="2" max="2" width="14.09765625" style="2" customWidth="1"/>
    <col min="3" max="3" width="16.8984375" style="2" customWidth="1"/>
    <col min="4" max="4" width="15.19921875" style="2" customWidth="1"/>
    <col min="5" max="5" width="30" style="2" customWidth="1"/>
    <col min="6" max="6" width="18.19921875" style="2"/>
    <col min="7" max="7" width="13.5" style="2" customWidth="1"/>
    <col min="8" max="8" width="12.796875" style="2" customWidth="1"/>
    <col min="9" max="9" width="14.5" style="2" customWidth="1"/>
    <col min="10" max="10" width="12.3984375" style="2" customWidth="1"/>
    <col min="11" max="11" width="12.796875" style="2" customWidth="1"/>
    <col min="12" max="12" width="13.19921875" style="2" customWidth="1"/>
    <col min="13" max="16" width="18.19921875" style="2"/>
    <col min="17" max="17" width="18.19921875" style="7"/>
    <col min="18" max="16384" width="18.19921875" style="2"/>
  </cols>
  <sheetData>
    <row r="1" spans="1:18" ht="21" x14ac:dyDescent="0.4">
      <c r="A1" s="14"/>
      <c r="B1" s="15"/>
      <c r="C1" s="15"/>
      <c r="D1" s="15"/>
      <c r="E1" s="14" t="s">
        <v>35</v>
      </c>
      <c r="F1" s="15"/>
      <c r="G1" s="15"/>
      <c r="H1" s="15"/>
      <c r="I1" s="15"/>
      <c r="J1" s="15"/>
      <c r="K1" s="15"/>
      <c r="L1" s="15"/>
      <c r="M1" s="1" t="s">
        <v>0</v>
      </c>
      <c r="N1" s="3">
        <v>0.18</v>
      </c>
      <c r="O1" s="1" t="s">
        <v>1</v>
      </c>
      <c r="P1" s="4">
        <v>0.126</v>
      </c>
      <c r="Q1" s="5"/>
      <c r="R1" s="1"/>
    </row>
    <row r="2" spans="1:18" ht="21" x14ac:dyDescent="0.4">
      <c r="A2" s="15"/>
      <c r="B2" s="15"/>
      <c r="C2" s="15"/>
      <c r="D2" s="15"/>
      <c r="E2" s="14"/>
      <c r="F2" s="15"/>
      <c r="G2" s="15"/>
      <c r="H2" s="15"/>
      <c r="I2" s="15"/>
      <c r="J2" s="15"/>
      <c r="K2" s="15"/>
      <c r="L2" s="15"/>
      <c r="M2" s="1"/>
      <c r="N2" s="3"/>
      <c r="O2" s="1"/>
      <c r="P2" s="4"/>
      <c r="Q2" s="5"/>
      <c r="R2" s="1"/>
    </row>
    <row r="3" spans="1:18" ht="42" x14ac:dyDescent="0.4">
      <c r="A3" s="16" t="s">
        <v>2</v>
      </c>
      <c r="B3" s="31">
        <v>600000</v>
      </c>
      <c r="C3" s="31"/>
      <c r="D3" s="15"/>
      <c r="E3" s="30" t="s">
        <v>32</v>
      </c>
      <c r="F3" s="17">
        <v>0</v>
      </c>
      <c r="G3" s="14"/>
      <c r="H3" s="15"/>
      <c r="I3" s="15"/>
      <c r="J3" s="18"/>
      <c r="K3" s="18"/>
      <c r="L3" s="18"/>
      <c r="M3" s="1" t="s">
        <v>3</v>
      </c>
      <c r="N3" s="6">
        <f>K20</f>
        <v>4581.7975428400159</v>
      </c>
      <c r="O3" s="1" t="s">
        <v>4</v>
      </c>
      <c r="P3" s="5">
        <f>(1+P1/12)^12-1</f>
        <v>0.1335372965869035</v>
      </c>
      <c r="Q3" s="5"/>
      <c r="R3" s="1"/>
    </row>
    <row r="4" spans="1:18" ht="21" x14ac:dyDescent="0.4">
      <c r="A4" s="16" t="s">
        <v>1</v>
      </c>
      <c r="B4" s="32">
        <v>0.126</v>
      </c>
      <c r="C4" s="32"/>
      <c r="D4" s="15"/>
      <c r="E4" s="16" t="s">
        <v>5</v>
      </c>
      <c r="F4" s="19">
        <v>3</v>
      </c>
      <c r="G4" s="14"/>
      <c r="H4" s="14"/>
      <c r="I4" s="20"/>
      <c r="J4" s="21" t="s">
        <v>26</v>
      </c>
      <c r="K4" s="18"/>
      <c r="L4" s="15"/>
      <c r="O4" s="1" t="s">
        <v>6</v>
      </c>
      <c r="P4" s="5">
        <f>P3/12</f>
        <v>1.1128108048908625E-2</v>
      </c>
      <c r="R4" s="1"/>
    </row>
    <row r="5" spans="1:18" ht="21" x14ac:dyDescent="0.4">
      <c r="A5" s="16" t="s">
        <v>7</v>
      </c>
      <c r="B5" s="33">
        <v>6</v>
      </c>
      <c r="C5" s="33"/>
      <c r="D5" s="15"/>
      <c r="E5" s="16" t="s">
        <v>34</v>
      </c>
      <c r="F5" s="22">
        <v>100</v>
      </c>
      <c r="G5" s="15"/>
      <c r="H5" s="15"/>
      <c r="I5" s="18"/>
      <c r="J5" s="23" t="s">
        <v>27</v>
      </c>
      <c r="K5" s="18"/>
      <c r="L5" s="15"/>
      <c r="O5" s="1" t="s">
        <v>8</v>
      </c>
      <c r="P5" s="5">
        <f>P3/360</f>
        <v>3.7093693496362083E-4</v>
      </c>
      <c r="R5" s="1"/>
    </row>
    <row r="6" spans="1:18" ht="41.4" customHeight="1" x14ac:dyDescent="0.4">
      <c r="A6" s="14" t="s">
        <v>29</v>
      </c>
      <c r="B6" s="34" t="s">
        <v>31</v>
      </c>
      <c r="C6" s="34"/>
      <c r="D6" s="15"/>
      <c r="E6" s="16" t="s">
        <v>9</v>
      </c>
      <c r="F6" s="24">
        <v>45693</v>
      </c>
      <c r="G6" s="15"/>
      <c r="H6" s="14"/>
      <c r="I6" s="18"/>
      <c r="J6" s="14" t="s">
        <v>28</v>
      </c>
      <c r="K6" s="18"/>
      <c r="L6" s="15"/>
      <c r="O6" s="1" t="s">
        <v>10</v>
      </c>
      <c r="P6" s="5">
        <f>XIRR(M10:M17,N10:N17)</f>
        <v>0.15229700207710267</v>
      </c>
      <c r="R6" s="1"/>
    </row>
    <row r="7" spans="1:18" ht="21" x14ac:dyDescent="0.4">
      <c r="A7" s="15"/>
      <c r="B7" s="15"/>
      <c r="C7" s="15"/>
      <c r="D7" s="15"/>
      <c r="E7" s="25" t="s">
        <v>30</v>
      </c>
      <c r="F7" s="26">
        <v>0</v>
      </c>
      <c r="G7" s="15"/>
      <c r="H7" s="14"/>
      <c r="I7" s="23"/>
      <c r="J7" s="23"/>
      <c r="K7" s="23"/>
      <c r="L7" s="15"/>
      <c r="O7" s="2" t="s">
        <v>11</v>
      </c>
      <c r="P7" s="6">
        <f>C12-B3</f>
        <v>0</v>
      </c>
      <c r="R7" s="1"/>
    </row>
    <row r="8" spans="1:18" ht="21" x14ac:dyDescent="0.4">
      <c r="A8" s="15"/>
      <c r="B8" s="15"/>
      <c r="C8" s="15"/>
      <c r="D8" s="15"/>
      <c r="E8" s="16" t="s">
        <v>33</v>
      </c>
      <c r="F8" s="27">
        <v>0.3</v>
      </c>
      <c r="G8" s="15"/>
      <c r="H8" s="15"/>
      <c r="I8" s="15"/>
      <c r="J8" s="15"/>
      <c r="K8" s="18"/>
      <c r="L8" s="15"/>
      <c r="O8" s="2" t="s">
        <v>12</v>
      </c>
      <c r="P8" s="6">
        <f>D20+J20</f>
        <v>25454.430793555646</v>
      </c>
    </row>
    <row r="9" spans="1:18" ht="21" x14ac:dyDescent="0.4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2" t="s">
        <v>13</v>
      </c>
      <c r="O9" s="1" t="s">
        <v>14</v>
      </c>
      <c r="P9" s="8">
        <f>P7+P8</f>
        <v>25454.430793555646</v>
      </c>
    </row>
    <row r="10" spans="1:18" s="13" customFormat="1" ht="63" x14ac:dyDescent="0.4">
      <c r="A10" s="28" t="s">
        <v>15</v>
      </c>
      <c r="B10" s="28" t="s">
        <v>16</v>
      </c>
      <c r="C10" s="28" t="s">
        <v>17</v>
      </c>
      <c r="D10" s="28" t="s">
        <v>18</v>
      </c>
      <c r="E10" s="29" t="s">
        <v>19</v>
      </c>
      <c r="F10" s="28" t="s">
        <v>20</v>
      </c>
      <c r="G10" s="28" t="s">
        <v>21</v>
      </c>
      <c r="H10" s="28" t="s">
        <v>22</v>
      </c>
      <c r="I10" s="28" t="s">
        <v>23</v>
      </c>
      <c r="J10" s="28" t="s">
        <v>24</v>
      </c>
      <c r="K10" s="28" t="s">
        <v>0</v>
      </c>
      <c r="L10" s="29" t="s">
        <v>25</v>
      </c>
      <c r="M10" s="11">
        <f>-B3</f>
        <v>-600000</v>
      </c>
      <c r="N10" s="12">
        <f>F6</f>
        <v>45693</v>
      </c>
      <c r="R10" s="10"/>
    </row>
    <row r="11" spans="1:18" ht="21" x14ac:dyDescent="0.4">
      <c r="A11" s="15">
        <v>0</v>
      </c>
      <c r="B11" s="24">
        <f>F6</f>
        <v>45693</v>
      </c>
      <c r="C11" s="14"/>
      <c r="D11" s="14"/>
      <c r="E11" s="18">
        <f>F7</f>
        <v>0</v>
      </c>
      <c r="F11" s="18"/>
      <c r="G11" s="18"/>
      <c r="H11" s="18"/>
      <c r="I11" s="18"/>
      <c r="J11" s="18">
        <f t="shared" ref="J11:J17" si="0">E11*$F$4*$P$5</f>
        <v>0</v>
      </c>
      <c r="K11" s="18">
        <f>(E11+J11)*N1</f>
        <v>0</v>
      </c>
      <c r="L11" s="18">
        <f>E11+K11+J11</f>
        <v>0</v>
      </c>
      <c r="M11" s="6">
        <f>E11+J11</f>
        <v>0</v>
      </c>
      <c r="N11" s="9">
        <f>B11</f>
        <v>45693</v>
      </c>
      <c r="Q11" s="2"/>
      <c r="R11" s="1"/>
    </row>
    <row r="12" spans="1:18" ht="21" x14ac:dyDescent="0.4">
      <c r="A12" s="15">
        <v>1</v>
      </c>
      <c r="B12" s="24">
        <v>45721</v>
      </c>
      <c r="C12" s="18">
        <f>B3*(IF(B5&lt;12,1+F3,1+F3*B5/12))</f>
        <v>600000</v>
      </c>
      <c r="D12" s="18">
        <f>C12*(B12-$F$6)*$P$5+$F$5</f>
        <v>6331.7405073888303</v>
      </c>
      <c r="E12" s="18">
        <v>100000</v>
      </c>
      <c r="F12" s="18">
        <f>IF(E12&gt;0,IF(E12&gt;D12,D12,E12),0)</f>
        <v>6331.7405073888303</v>
      </c>
      <c r="G12" s="18">
        <f t="shared" ref="G12:G17" si="1">IF(F12=E12,0,E12-F12)</f>
        <v>93668.259492611163</v>
      </c>
      <c r="H12" s="18">
        <f>D12-F12-G12</f>
        <v>-93668.259492611163</v>
      </c>
      <c r="I12" s="18">
        <f t="shared" ref="I12:I17" si="2">C12+H12</f>
        <v>506331.74050738884</v>
      </c>
      <c r="J12" s="18">
        <f t="shared" si="0"/>
        <v>111.28108048908625</v>
      </c>
      <c r="K12" s="18">
        <f>(J12+D12)*$N$1+(C12-B3)*N1</f>
        <v>1159.7438858180249</v>
      </c>
      <c r="L12" s="18">
        <f>IF(E12=0,K12,E12+J12+K12)</f>
        <v>101271.02496630712</v>
      </c>
      <c r="M12" s="6">
        <f>E12+J12</f>
        <v>100111.28108048909</v>
      </c>
      <c r="N12" s="9">
        <f>B12</f>
        <v>45721</v>
      </c>
    </row>
    <row r="13" spans="1:18" ht="21" x14ac:dyDescent="0.4">
      <c r="A13" s="15">
        <v>2</v>
      </c>
      <c r="B13" s="24">
        <v>45752</v>
      </c>
      <c r="C13" s="18">
        <f>I12</f>
        <v>506331.74050738884</v>
      </c>
      <c r="D13" s="18">
        <f t="shared" ref="D13:D17" si="3">C13*(B13-B12)*$P$5+$F$5</f>
        <v>5922.3314608567935</v>
      </c>
      <c r="E13" s="18">
        <v>100000</v>
      </c>
      <c r="F13" s="18">
        <f>IF(E13&gt;0,IF(E13&gt;D13,D13,E13),0)</f>
        <v>5922.3314608567935</v>
      </c>
      <c r="G13" s="18">
        <f t="shared" si="1"/>
        <v>94077.668539143211</v>
      </c>
      <c r="H13" s="18">
        <f t="shared" ref="H13:H16" si="4">D13-F13-G13</f>
        <v>-94077.668539143211</v>
      </c>
      <c r="I13" s="18">
        <f t="shared" si="2"/>
        <v>412254.07196824561</v>
      </c>
      <c r="J13" s="18">
        <f t="shared" si="0"/>
        <v>111.28108048908625</v>
      </c>
      <c r="K13" s="18">
        <f t="shared" ref="K13:K17" si="5">(D13+J13)*$N$1</f>
        <v>1086.0502574422583</v>
      </c>
      <c r="L13" s="18">
        <f t="shared" ref="L13:L17" si="6">IF(E13=0,K13,E13+J13+K13)</f>
        <v>101197.33133793135</v>
      </c>
      <c r="M13" s="6">
        <f t="shared" ref="M13:M17" si="7">E13+J13</f>
        <v>100111.28108048909</v>
      </c>
      <c r="N13" s="9">
        <f>B13</f>
        <v>45752</v>
      </c>
    </row>
    <row r="14" spans="1:18" ht="21" x14ac:dyDescent="0.4">
      <c r="A14" s="15">
        <v>3</v>
      </c>
      <c r="B14" s="24">
        <v>45782</v>
      </c>
      <c r="C14" s="18">
        <f>I13</f>
        <v>412254.07196824561</v>
      </c>
      <c r="D14" s="18">
        <f>C14*(B14-B13)*$P$5+$F$5</f>
        <v>4687.6078564651898</v>
      </c>
      <c r="E14" s="18">
        <v>100000</v>
      </c>
      <c r="F14" s="18">
        <f t="shared" ref="F14:F16" si="8">IF(E14&gt;0,IF(E14&gt;D14,D14,E14),0)</f>
        <v>4687.6078564651898</v>
      </c>
      <c r="G14" s="18">
        <f t="shared" si="1"/>
        <v>95312.392143534817</v>
      </c>
      <c r="H14" s="18">
        <f t="shared" si="4"/>
        <v>-95312.392143534817</v>
      </c>
      <c r="I14" s="18">
        <f t="shared" si="2"/>
        <v>316941.67982471082</v>
      </c>
      <c r="J14" s="18">
        <f t="shared" si="0"/>
        <v>111.28108048908625</v>
      </c>
      <c r="K14" s="18">
        <f t="shared" si="5"/>
        <v>863.80000865176964</v>
      </c>
      <c r="L14" s="18">
        <f t="shared" si="6"/>
        <v>100975.08108914086</v>
      </c>
      <c r="M14" s="6">
        <f t="shared" si="7"/>
        <v>100111.28108048909</v>
      </c>
      <c r="N14" s="9">
        <f t="shared" ref="N14:N16" si="9">B14</f>
        <v>45782</v>
      </c>
    </row>
    <row r="15" spans="1:18" ht="21" x14ac:dyDescent="0.4">
      <c r="A15" s="15">
        <v>4</v>
      </c>
      <c r="B15" s="24">
        <v>45813</v>
      </c>
      <c r="C15" s="18">
        <f>I14</f>
        <v>316941.67982471082</v>
      </c>
      <c r="D15" s="18">
        <f t="shared" ref="D15" si="10">C15*(B15-B14)*$P$5+$F$5</f>
        <v>3744.5266335683846</v>
      </c>
      <c r="E15" s="18">
        <v>100000</v>
      </c>
      <c r="F15" s="18">
        <f>IF(E15&gt;0,IF(E15&gt;D15,D15,E15),0)</f>
        <v>3744.5266335683846</v>
      </c>
      <c r="G15" s="18">
        <f t="shared" si="1"/>
        <v>96255.473366431615</v>
      </c>
      <c r="H15" s="18">
        <f t="shared" ref="H15" si="11">D15-F15-G15</f>
        <v>-96255.473366431615</v>
      </c>
      <c r="I15" s="18">
        <f t="shared" si="2"/>
        <v>220686.20645827922</v>
      </c>
      <c r="J15" s="18">
        <f t="shared" ref="J15" si="12">E15*$F$4*$P$5</f>
        <v>111.28108048908625</v>
      </c>
      <c r="K15" s="18">
        <f t="shared" ref="K15" si="13">(D15+J15)*$N$1</f>
        <v>694.04538853034478</v>
      </c>
      <c r="L15" s="18">
        <f t="shared" ref="L15" si="14">IF(E15=0,K15,E15+J15+K15)</f>
        <v>100805.32646901943</v>
      </c>
      <c r="M15" s="6">
        <f t="shared" ref="M15" si="15">E15+J15</f>
        <v>100111.28108048909</v>
      </c>
      <c r="N15" s="9">
        <f>B15</f>
        <v>45813</v>
      </c>
    </row>
    <row r="16" spans="1:18" ht="21" x14ac:dyDescent="0.4">
      <c r="A16" s="15">
        <v>5</v>
      </c>
      <c r="B16" s="24">
        <v>45843</v>
      </c>
      <c r="C16" s="18">
        <f>I15</f>
        <v>220686.20645827922</v>
      </c>
      <c r="D16" s="18">
        <f>C16*(B16-B15)*$P$5+$F$5</f>
        <v>2555.8199503714873</v>
      </c>
      <c r="E16" s="18">
        <v>100000</v>
      </c>
      <c r="F16" s="18">
        <f t="shared" si="8"/>
        <v>2555.8199503714873</v>
      </c>
      <c r="G16" s="18">
        <f t="shared" si="1"/>
        <v>97444.180049628514</v>
      </c>
      <c r="H16" s="18">
        <f t="shared" si="4"/>
        <v>-97444.180049628514</v>
      </c>
      <c r="I16" s="18">
        <f t="shared" si="2"/>
        <v>123242.02640865071</v>
      </c>
      <c r="J16" s="18">
        <f t="shared" si="0"/>
        <v>111.28108048908625</v>
      </c>
      <c r="K16" s="18">
        <f t="shared" si="5"/>
        <v>480.07818555490326</v>
      </c>
      <c r="L16" s="18">
        <f t="shared" si="6"/>
        <v>100591.35926604399</v>
      </c>
      <c r="M16" s="6">
        <f t="shared" si="7"/>
        <v>100111.28108048909</v>
      </c>
      <c r="N16" s="9">
        <f t="shared" si="9"/>
        <v>45843</v>
      </c>
    </row>
    <row r="17" spans="1:17" ht="21" x14ac:dyDescent="0.4">
      <c r="A17" s="15">
        <v>6</v>
      </c>
      <c r="B17" s="24">
        <v>45874</v>
      </c>
      <c r="C17" s="18">
        <f>I16</f>
        <v>123242.02640865071</v>
      </c>
      <c r="D17" s="18">
        <f t="shared" si="3"/>
        <v>1517.1656055766457</v>
      </c>
      <c r="E17" s="18">
        <f>C17+D17</f>
        <v>124759.19201422736</v>
      </c>
      <c r="F17" s="18">
        <f>IF(E17&gt;0,IF(E17&gt;D17,D17,E17),0)</f>
        <v>1517.1656055766457</v>
      </c>
      <c r="G17" s="18">
        <f t="shared" si="1"/>
        <v>123242.02640865071</v>
      </c>
      <c r="H17" s="18">
        <f>D17-F17-G17</f>
        <v>-123242.02640865071</v>
      </c>
      <c r="I17" s="18">
        <f t="shared" si="2"/>
        <v>0</v>
      </c>
      <c r="J17" s="18">
        <f t="shared" si="0"/>
        <v>138.833376882886</v>
      </c>
      <c r="K17" s="18">
        <f t="shared" si="5"/>
        <v>298.07981684271573</v>
      </c>
      <c r="L17" s="18">
        <f t="shared" si="6"/>
        <v>125196.10520795296</v>
      </c>
      <c r="M17" s="6">
        <f t="shared" si="7"/>
        <v>124898.02539111025</v>
      </c>
      <c r="N17" s="9">
        <f>B17</f>
        <v>45874</v>
      </c>
      <c r="Q17" s="2"/>
    </row>
    <row r="18" spans="1:17" ht="13.5" customHeight="1" x14ac:dyDescent="0.4">
      <c r="A18" s="15"/>
      <c r="B18" s="24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6"/>
      <c r="N18" s="9"/>
      <c r="Q18" s="2"/>
    </row>
    <row r="19" spans="1:17" ht="21" x14ac:dyDescent="0.4">
      <c r="A19" s="23"/>
      <c r="B19" s="15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6"/>
      <c r="N19" s="6"/>
    </row>
    <row r="20" spans="1:17" ht="21" x14ac:dyDescent="0.4">
      <c r="A20" s="15"/>
      <c r="B20" s="15"/>
      <c r="C20" s="18"/>
      <c r="D20" s="18">
        <f>SUM(D12:D19)</f>
        <v>24759.19201422733</v>
      </c>
      <c r="E20" s="18">
        <f>SUM(E11:E17)</f>
        <v>624759.19201422739</v>
      </c>
      <c r="F20" s="18">
        <f>SUM(F11:F17)</f>
        <v>24759.19201422733</v>
      </c>
      <c r="G20" s="18">
        <f>SUM(G11:G17)</f>
        <v>600000</v>
      </c>
      <c r="H20" s="18">
        <f>SUM(H11:H17)</f>
        <v>-600000</v>
      </c>
      <c r="I20" s="18"/>
      <c r="J20" s="18">
        <f>SUM(J11:J17)</f>
        <v>695.23877932831726</v>
      </c>
      <c r="K20" s="18">
        <f>SUM(K11:K17)</f>
        <v>4581.7975428400159</v>
      </c>
      <c r="L20" s="18">
        <f>SUM(L11:L17)</f>
        <v>630036.2283363957</v>
      </c>
      <c r="M20" s="6"/>
      <c r="N20" s="6"/>
    </row>
    <row r="21" spans="1:17" x14ac:dyDescent="0.35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7" x14ac:dyDescent="0.35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7" x14ac:dyDescent="0.35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7" x14ac:dyDescent="0.35"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7" x14ac:dyDescent="0.35"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7" x14ac:dyDescent="0.35"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7" x14ac:dyDescent="0.35"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7" x14ac:dyDescent="0.35"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7" x14ac:dyDescent="0.35">
      <c r="C29" s="6"/>
      <c r="D29" s="6"/>
      <c r="E29" s="6"/>
      <c r="F29" s="6"/>
      <c r="G29" s="6"/>
      <c r="H29" s="6"/>
      <c r="I29" s="6"/>
      <c r="J29" s="6"/>
      <c r="K29" s="6"/>
      <c r="L29" s="6"/>
    </row>
    <row r="30" spans="1:17" x14ac:dyDescent="0.35"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7" x14ac:dyDescent="0.35"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7" x14ac:dyDescent="0.35"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3:12" x14ac:dyDescent="0.35"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3:12" x14ac:dyDescent="0.35"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3:12" x14ac:dyDescent="0.35"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3:12" x14ac:dyDescent="0.35">
      <c r="C36" s="6"/>
      <c r="D36" s="6"/>
      <c r="E36" s="6"/>
      <c r="F36" s="6"/>
      <c r="G36" s="6"/>
      <c r="H36" s="6"/>
      <c r="I36" s="6"/>
      <c r="J36" s="6"/>
      <c r="K36" s="6"/>
      <c r="L36" s="6"/>
    </row>
    <row r="37" spans="3:12" x14ac:dyDescent="0.35"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3:12" x14ac:dyDescent="0.35"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3:12" x14ac:dyDescent="0.35"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3:12" x14ac:dyDescent="0.35"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3:12" x14ac:dyDescent="0.35"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3:12" x14ac:dyDescent="0.35"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3:12" x14ac:dyDescent="0.35"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3:12" x14ac:dyDescent="0.35"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3:12" x14ac:dyDescent="0.35"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3:12" x14ac:dyDescent="0.35"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3:12" x14ac:dyDescent="0.35"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3:12" x14ac:dyDescent="0.35"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3:12" x14ac:dyDescent="0.35"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3:12" x14ac:dyDescent="0.35"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3:12" x14ac:dyDescent="0.35"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3:12" x14ac:dyDescent="0.35"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3:12" x14ac:dyDescent="0.35"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3:12" x14ac:dyDescent="0.35">
      <c r="C54" s="6"/>
      <c r="D54" s="6"/>
      <c r="E54" s="6"/>
      <c r="F54" s="6"/>
      <c r="G54" s="6"/>
      <c r="H54" s="6"/>
      <c r="I54" s="6"/>
      <c r="J54" s="6"/>
      <c r="K54" s="6"/>
      <c r="L54" s="6"/>
    </row>
    <row r="55" spans="3:12" x14ac:dyDescent="0.35"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3:12" x14ac:dyDescent="0.35"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3:12" x14ac:dyDescent="0.35"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3:12" x14ac:dyDescent="0.35">
      <c r="C58" s="6"/>
      <c r="D58" s="6"/>
      <c r="E58" s="6"/>
      <c r="F58" s="6"/>
      <c r="G58" s="6"/>
      <c r="H58" s="6"/>
      <c r="I58" s="6"/>
      <c r="J58" s="6"/>
      <c r="K58" s="6"/>
      <c r="L58" s="6"/>
    </row>
    <row r="59" spans="3:12" x14ac:dyDescent="0.35">
      <c r="C59" s="6"/>
      <c r="D59" s="6"/>
      <c r="E59" s="6"/>
      <c r="F59" s="6"/>
      <c r="G59" s="6"/>
      <c r="H59" s="6"/>
      <c r="I59" s="6"/>
      <c r="J59" s="6"/>
      <c r="K59" s="6"/>
      <c r="L59" s="6"/>
    </row>
  </sheetData>
  <mergeCells count="4">
    <mergeCell ref="B3:C3"/>
    <mergeCell ref="B4:C4"/>
    <mergeCell ref="B5:C5"/>
    <mergeCell ref="B6:C6"/>
  </mergeCells>
  <conditionalFormatting sqref="F11:G18 K11:L18 D12:D18">
    <cfRule type="cellIs" dxfId="0" priority="1" operator="lessThan">
      <formula>0</formula>
    </cfRule>
  </conditionalFormatting>
  <pageMargins left="0.7" right="0.7" top="0.75" bottom="0.75" header="0.3" footer="0.3"/>
  <pageSetup paperSize="9" scale="60" orientation="landscape" r:id="rId1"/>
  <colBreaks count="1" manualBreakCount="1">
    <brk id="14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127E442BE6A8640A103D8C04EBA997C" ma:contentTypeVersion="12" ma:contentTypeDescription="צור מסמך חדש." ma:contentTypeScope="" ma:versionID="b8af619034e25d39bb014f3b678b8aad">
  <xsd:schema xmlns:xsd="http://www.w3.org/2001/XMLSchema" xmlns:xs="http://www.w3.org/2001/XMLSchema" xmlns:p="http://schemas.microsoft.com/office/2006/metadata/properties" xmlns:ns2="4b1d42f3-dd0e-4c51-9908-bf280552a433" xmlns:ns3="6970c6a9-e3b3-453d-be98-ce75718ef501" targetNamespace="http://schemas.microsoft.com/office/2006/metadata/properties" ma:root="true" ma:fieldsID="904530d10135d269f177a341a39e765a" ns2:_="" ns3:_="">
    <xsd:import namespace="4b1d42f3-dd0e-4c51-9908-bf280552a433"/>
    <xsd:import namespace="6970c6a9-e3b3-453d-be98-ce75718ef50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1d42f3-dd0e-4c51-9908-bf280552a433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תגיות תמונה" ma:readOnly="false" ma:fieldId="{5cf76f15-5ced-4ddc-b409-7134ff3c332f}" ma:taxonomyMulti="true" ma:sspId="70e9e203-cfc6-49eb-b1c6-93c51ab65a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70c6a9-e3b3-453d-be98-ce75718ef50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e452a37-d905-4167-95b7-61db470e31d6}" ma:internalName="TaxCatchAll" ma:showField="CatchAllData" ma:web="6970c6a9-e3b3-453d-be98-ce75718ef5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1d42f3-dd0e-4c51-9908-bf280552a433">
      <Terms xmlns="http://schemas.microsoft.com/office/infopath/2007/PartnerControls"/>
    </lcf76f155ced4ddcb4097134ff3c332f>
    <TaxCatchAll xmlns="6970c6a9-e3b3-453d-be98-ce75718ef501" xsi:nil="true"/>
  </documentManagement>
</p:properties>
</file>

<file path=customXml/itemProps1.xml><?xml version="1.0" encoding="utf-8"?>
<ds:datastoreItem xmlns:ds="http://schemas.openxmlformats.org/officeDocument/2006/customXml" ds:itemID="{1CC102CD-E8A0-4A5E-8C65-A61E2B7E1A64}"/>
</file>

<file path=customXml/itemProps2.xml><?xml version="1.0" encoding="utf-8"?>
<ds:datastoreItem xmlns:ds="http://schemas.openxmlformats.org/officeDocument/2006/customXml" ds:itemID="{72501FB2-5FC5-49A9-A408-508FFA6C6AF7}"/>
</file>

<file path=customXml/itemProps3.xml><?xml version="1.0" encoding="utf-8"?>
<ds:datastoreItem xmlns:ds="http://schemas.openxmlformats.org/officeDocument/2006/customXml" ds:itemID="{53A8B7D0-5581-4139-A3F3-19882B97C7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6 תשלומים</vt:lpstr>
      <vt:lpstr>'לוח 6 תשלומים'!WPrint_Area_W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Elad Levi-Meori</dc:creator>
  <cp:lastModifiedBy>Ben Yosef</cp:lastModifiedBy>
  <cp:lastPrinted>2025-02-03T11:06:59Z</cp:lastPrinted>
  <dcterms:created xsi:type="dcterms:W3CDTF">2023-11-19T13:48:41Z</dcterms:created>
  <dcterms:modified xsi:type="dcterms:W3CDTF">2025-02-04T10:19:14Z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0x0101000127E442BE6A8640A103D8C04EBA997C</vt:lpwstr>
  </property>
  <property fmtid="{D5CDD505-2E9C-101B-9397-08002B2CF9AE}" pid="3" name="Order">
    <vt:r8>17945400</vt:r8>
  </property>
</Properties>
</file>