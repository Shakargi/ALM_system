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edgegroup-my.sharepoint.com/personal/avraham_blackedge_co_il/Documents/שולחן העבודה/Flow Simulation/data/"/>
    </mc:Choice>
  </mc:AlternateContent>
  <xr:revisionPtr revIDLastSave="101" documentId="13_ncr:1_{620EB8E8-818C-49AE-83D9-1693446931D5}" xr6:coauthVersionLast="47" xr6:coauthVersionMax="47" xr10:uidLastSave="{96FC864E-62EA-4517-8836-111AB44751AE}"/>
  <bookViews>
    <workbookView minimized="1" xWindow="1116" yWindow="1116" windowWidth="17280" windowHeight="9960" xr2:uid="{6EBF7A1F-6E74-49C3-A5CA-0211AF85779F}"/>
  </bookViews>
  <sheets>
    <sheet name="לוח סילוקין מעודכן" sheetId="2" r:id="rId1"/>
  </sheets>
  <definedNames>
    <definedName name="_xlnm.Print_Area" localSheetId="0">'לוח סילוקין מעודכן'!$A$1:$M$16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P12" i="2"/>
  <c r="P18" i="2"/>
  <c r="N15" i="2"/>
  <c r="O15" i="2"/>
  <c r="Q5" i="2"/>
  <c r="R5" i="2" s="1"/>
  <c r="O14" i="2"/>
  <c r="C12" i="2" l="1"/>
  <c r="D12" i="2" s="1"/>
  <c r="B11" i="2" l="1"/>
  <c r="O11" i="2" s="1"/>
  <c r="O16" i="2"/>
  <c r="O13" i="2"/>
  <c r="O12" i="2"/>
  <c r="O10" i="2"/>
  <c r="N10" i="2"/>
  <c r="Q1" i="2"/>
  <c r="Q3" i="2" s="1"/>
  <c r="L11" i="2" l="1"/>
  <c r="N11" i="2"/>
  <c r="E12" i="2"/>
  <c r="Q2" i="2"/>
  <c r="F12" i="2" l="1"/>
  <c r="M11" i="2"/>
  <c r="N12" i="2" l="1"/>
  <c r="L12" i="2"/>
  <c r="M12" i="2" s="1"/>
  <c r="H12" i="2" l="1"/>
  <c r="I12" i="2" l="1"/>
  <c r="J12" i="2" s="1"/>
  <c r="K12" i="2" s="1"/>
  <c r="C13" i="2" s="1"/>
  <c r="D13" i="2" s="1"/>
  <c r="E13" i="2" l="1"/>
  <c r="F13" i="2" s="1"/>
  <c r="N13" i="2" l="1"/>
  <c r="L13" i="2"/>
  <c r="M13" i="2" s="1"/>
  <c r="H13" i="2" l="1"/>
  <c r="I13" i="2" l="1"/>
  <c r="J13" i="2" s="1"/>
  <c r="K13" i="2" s="1"/>
  <c r="C14" i="2" s="1"/>
  <c r="P13" i="2"/>
  <c r="E14" i="2" l="1"/>
  <c r="D14" i="2"/>
  <c r="N14" i="2"/>
  <c r="F14" i="2" l="1"/>
  <c r="L14" i="2" s="1"/>
  <c r="M14" i="2" s="1"/>
  <c r="H14" i="2" l="1"/>
  <c r="I14" i="2" s="1"/>
  <c r="J14" i="2" s="1"/>
  <c r="K14" i="2" s="1"/>
  <c r="C15" i="2" s="1"/>
  <c r="P14" i="2" l="1"/>
  <c r="E15" i="2"/>
  <c r="D15" i="2"/>
  <c r="F15" i="2" l="1"/>
  <c r="L15" i="2" s="1"/>
  <c r="H15" i="2"/>
  <c r="I15" i="2" l="1"/>
  <c r="J15" i="2" s="1"/>
  <c r="K15" i="2" s="1"/>
  <c r="C16" i="2" s="1"/>
  <c r="P15" i="2"/>
  <c r="E16" i="2" l="1"/>
  <c r="E17" i="2" s="1"/>
  <c r="D16" i="2"/>
  <c r="F16" i="2" l="1"/>
  <c r="F17" i="2" s="1"/>
  <c r="Q6" i="2" s="1"/>
  <c r="D17" i="2"/>
  <c r="H4" i="2" s="1"/>
  <c r="G16" i="2"/>
  <c r="L16" i="2"/>
  <c r="L17" i="2" s="1"/>
  <c r="Q10" i="2" s="1"/>
  <c r="Q7" i="2" l="1"/>
  <c r="R7" i="2" s="1"/>
  <c r="R6" i="2"/>
  <c r="M16" i="2"/>
  <c r="M17" i="2" s="1"/>
  <c r="N16" i="2"/>
  <c r="Q4" i="2" s="1"/>
  <c r="G17" i="2"/>
  <c r="H16" i="2"/>
  <c r="H17" i="2" s="1"/>
  <c r="P16" i="2" l="1"/>
  <c r="I16" i="2"/>
  <c r="I17" i="2" l="1"/>
  <c r="J16" i="2"/>
  <c r="K16" i="2" l="1"/>
  <c r="J17" i="2"/>
</calcChain>
</file>

<file path=xl/sharedStrings.xml><?xml version="1.0" encoding="utf-8"?>
<sst xmlns="http://schemas.openxmlformats.org/spreadsheetml/2006/main" count="36" uniqueCount="36">
  <si>
    <t>שלומציון יזמות ק.פ. בע״מ</t>
  </si>
  <si>
    <t>ריבית אפקטיבית שנתית</t>
  </si>
  <si>
    <t>ריבית אפקטיבית חודשית</t>
  </si>
  <si>
    <t>סכום שיועבר ללקוח</t>
  </si>
  <si>
    <t>עמלת תפעול חודשית (% מיתרת החוב)</t>
  </si>
  <si>
    <t>ריבית אפקטיבית יומית</t>
  </si>
  <si>
    <t>ריבית נומינלית שנתית</t>
  </si>
  <si>
    <t>סה"כ עמלת תפעול חודשית (₪)</t>
  </si>
  <si>
    <t>IRR</t>
  </si>
  <si>
    <t>תקופת המימון (חודשים)</t>
  </si>
  <si>
    <t>עמלת טיפול בצ'ק (₪)</t>
  </si>
  <si>
    <t>הכנסות מעמלות</t>
  </si>
  <si>
    <t>מועד ביצוע העסקה</t>
  </si>
  <si>
    <t>עמלת הקמה שנתית (% מהסכום שאושר ללקוח)</t>
  </si>
  <si>
    <t>הכנסות מימון</t>
  </si>
  <si>
    <t>שם הלקוח</t>
  </si>
  <si>
    <t>שלומציון יזמות ק.פ. בע"מ</t>
  </si>
  <si>
    <t>עמלת הקמה במזומן (₪)</t>
  </si>
  <si>
    <t>סה"כ הכנסות</t>
  </si>
  <si>
    <t>ט.ל.ח</t>
  </si>
  <si>
    <t>תזמז</t>
  </si>
  <si>
    <t>שיעור המע"מ</t>
  </si>
  <si>
    <t># תשלום</t>
  </si>
  <si>
    <t>תאריך</t>
  </si>
  <si>
    <t>יתרה</t>
  </si>
  <si>
    <t>עמלת תפעול חודשית</t>
  </si>
  <si>
    <t>הוצאות ריבית</t>
  </si>
  <si>
    <t>סה"כ הוצאות מימון</t>
  </si>
  <si>
    <t>סילוקין ללא מע"מ</t>
  </si>
  <si>
    <t>תשלום ע"ח מימון</t>
  </si>
  <si>
    <t>תשלום ע"ח קרן</t>
  </si>
  <si>
    <t>תוספת (גריעה) קרן</t>
  </si>
  <si>
    <t>יתרת קרן עדכנית</t>
  </si>
  <si>
    <t>מע"מ</t>
  </si>
  <si>
    <t>לוח סילוקין כולל מע"מ</t>
  </si>
  <si>
    <t>סה"כ מע"מ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</si>
</sst>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b/>
      <sz val="11"/>
      <color theme="1"/>
      <name val="David"/>
      <family val="2"/>
    </font>
    <font>
      <sz val="11"/>
      <color theme="1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9" fontId="1" fillId="0" borderId="0" xfId="0" applyNumberFormat="1" applyFont="1" applyAlignment="1">
      <alignment horizontal="center" readingOrder="2"/>
    </xf>
    <xf numFmtId="10" fontId="1" fillId="2" borderId="0" xfId="0" applyNumberFormat="1" applyFont="1" applyFill="1" applyAlignment="1">
      <alignment horizontal="center" readingOrder="2"/>
    </xf>
    <xf numFmtId="10" fontId="1" fillId="0" borderId="0" xfId="0" applyNumberFormat="1" applyFont="1" applyAlignment="1">
      <alignment horizontal="center" readingOrder="2"/>
    </xf>
    <xf numFmtId="3" fontId="1" fillId="0" borderId="0" xfId="0" applyNumberFormat="1" applyFont="1" applyAlignment="1">
      <alignment horizontal="center" readingOrder="2"/>
    </xf>
    <xf numFmtId="4" fontId="1" fillId="0" borderId="0" xfId="0" applyNumberFormat="1" applyFont="1" applyAlignment="1">
      <alignment horizontal="center" readingOrder="2"/>
    </xf>
    <xf numFmtId="0" fontId="0" fillId="0" borderId="0" xfId="0" applyAlignment="1">
      <alignment horizontal="center" readingOrder="2"/>
    </xf>
    <xf numFmtId="3" fontId="1" fillId="2" borderId="0" xfId="0" applyNumberFormat="1" applyFont="1" applyFill="1" applyAlignment="1">
      <alignment horizontal="center" readingOrder="2"/>
    </xf>
    <xf numFmtId="14" fontId="1" fillId="2" borderId="0" xfId="0" applyNumberFormat="1" applyFont="1" applyFill="1" applyAlignment="1">
      <alignment horizontal="center" readingOrder="2"/>
    </xf>
    <xf numFmtId="3" fontId="2" fillId="0" borderId="0" xfId="0" applyNumberFormat="1" applyFont="1" applyAlignment="1">
      <alignment horizontal="center" readingOrder="2"/>
    </xf>
    <xf numFmtId="14" fontId="1" fillId="0" borderId="0" xfId="0" applyNumberFormat="1" applyFont="1" applyAlignment="1">
      <alignment horizontal="center" readingOrder="2"/>
    </xf>
    <xf numFmtId="0" fontId="2" fillId="0" borderId="0" xfId="0" applyFont="1" applyAlignment="1">
      <alignment horizontal="right" readingOrder="2"/>
    </xf>
    <xf numFmtId="0" fontId="1" fillId="0" borderId="0" xfId="0" applyFont="1" applyAlignment="1">
      <alignment horizontal="right" readingOrder="2"/>
    </xf>
    <xf numFmtId="3" fontId="1" fillId="3" borderId="0" xfId="0" applyNumberFormat="1" applyFont="1" applyFill="1" applyAlignment="1">
      <alignment horizontal="center" readingOrder="2"/>
    </xf>
    <xf numFmtId="10" fontId="1" fillId="0" borderId="0" xfId="1" applyNumberFormat="1" applyFont="1" applyAlignment="1">
      <alignment horizontal="center" readingOrder="2"/>
    </xf>
    <xf numFmtId="3" fontId="1" fillId="2" borderId="0" xfId="0" applyNumberFormat="1" applyFont="1" applyFill="1" applyAlignment="1">
      <alignment horizontal="centerContinuous" readingOrder="2"/>
    </xf>
    <xf numFmtId="0" fontId="1" fillId="2" borderId="0" xfId="0" applyFont="1" applyFill="1" applyAlignment="1">
      <alignment horizontal="centerContinuous" readingOrder="2"/>
    </xf>
    <xf numFmtId="164" fontId="1" fillId="2" borderId="0" xfId="1" applyNumberFormat="1" applyFont="1" applyFill="1" applyAlignment="1">
      <alignment horizontal="center" readingOrder="2"/>
    </xf>
    <xf numFmtId="1" fontId="1" fillId="0" borderId="0" xfId="0" applyNumberFormat="1" applyFont="1" applyAlignment="1">
      <alignment horizontal="center" readingOrder="2"/>
    </xf>
    <xf numFmtId="14" fontId="1" fillId="2" borderId="0" xfId="0" applyNumberFormat="1" applyFont="1" applyFill="1" applyAlignment="1">
      <alignment horizontal="center" readingOrder="2"/>
    </xf>
    <xf numFmtId="3" fontId="1" fillId="2" borderId="0" xfId="0" applyNumberFormat="1" applyFont="1" applyFill="1" applyAlignment="1">
      <alignment horizontal="center" vertical="center" wrapText="1" readingOrder="2"/>
    </xf>
    <xf numFmtId="10" fontId="1" fillId="2" borderId="0" xfId="0" applyNumberFormat="1" applyFont="1" applyFill="1" applyAlignment="1">
      <alignment horizontal="center" readingOrder="2"/>
    </xf>
    <xf numFmtId="0" fontId="1" fillId="2" borderId="0" xfId="0" applyFont="1" applyFill="1" applyAlignment="1">
      <alignment horizontal="center" readingOrder="2"/>
    </xf>
    <xf numFmtId="0" fontId="2" fillId="2" borderId="1" xfId="0" applyFont="1" applyFill="1" applyBorder="1" applyAlignment="1">
      <alignment horizontal="center" readingOrder="2"/>
    </xf>
    <xf numFmtId="0" fontId="2" fillId="2" borderId="2" xfId="0" applyFont="1" applyFill="1" applyBorder="1" applyAlignment="1">
      <alignment horizontal="center" readingOrder="2"/>
    </xf>
    <xf numFmtId="0" fontId="2" fillId="2" borderId="3" xfId="0" applyFont="1" applyFill="1" applyBorder="1" applyAlignment="1">
      <alignment horizontal="center" readingOrder="2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3713-4356-4CBF-9CBA-FB578D227681}">
  <sheetPr>
    <pageSetUpPr fitToPage="1"/>
  </sheetPr>
  <dimension ref="A1:S56"/>
  <sheetViews>
    <sheetView rightToLeft="1" tabSelected="1" view="pageBreakPreview" zoomScale="110" zoomScaleNormal="100" zoomScaleSheetLayoutView="110" workbookViewId="0">
      <selection activeCell="L7" sqref="L7"/>
    </sheetView>
  </sheetViews>
  <sheetFormatPr defaultColWidth="9" defaultRowHeight="14.4" x14ac:dyDescent="0.3"/>
  <cols>
    <col min="1" max="1" width="18.109375" style="1" bestFit="1" customWidth="1"/>
    <col min="2" max="2" width="9.109375" style="1" bestFit="1" customWidth="1"/>
    <col min="3" max="3" width="9.44140625" style="1" customWidth="1"/>
    <col min="4" max="4" width="15.33203125" style="1" bestFit="1" customWidth="1"/>
    <col min="5" max="5" width="10.109375" style="1" customWidth="1"/>
    <col min="6" max="6" width="14.5546875" style="1" customWidth="1"/>
    <col min="7" max="7" width="37.109375" style="1" bestFit="1" customWidth="1"/>
    <col min="8" max="8" width="13.109375" style="1" bestFit="1" customWidth="1"/>
    <col min="9" max="9" width="12.33203125" style="1" customWidth="1"/>
    <col min="10" max="10" width="25.88671875" style="1" customWidth="1"/>
    <col min="11" max="12" width="13" style="1" customWidth="1"/>
    <col min="13" max="13" width="17.109375" style="1" bestFit="1" customWidth="1"/>
    <col min="14" max="14" width="14.5546875" style="1" bestFit="1" customWidth="1"/>
    <col min="15" max="15" width="14.5546875" style="1" customWidth="1"/>
    <col min="16" max="16" width="18.5546875" style="1" bestFit="1" customWidth="1"/>
    <col min="17" max="17" width="9.109375" style="1" bestFit="1" customWidth="1"/>
    <col min="18" max="18" width="7.44140625" style="8" bestFit="1" customWidth="1"/>
    <col min="19" max="19" width="3" style="1" customWidth="1"/>
    <col min="20" max="16384" width="9" style="1"/>
  </cols>
  <sheetData>
    <row r="1" spans="1:19" ht="13.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P1" s="13" t="s">
        <v>1</v>
      </c>
      <c r="Q1" s="5">
        <f>(1+B4/12)^12-1</f>
        <v>0.13241604641527593</v>
      </c>
      <c r="R1" s="5"/>
      <c r="S1" s="2"/>
    </row>
    <row r="2" spans="1:19" ht="13.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P2" s="13" t="s">
        <v>2</v>
      </c>
      <c r="Q2" s="5">
        <f>Q1/12</f>
        <v>1.1034670534606328E-2</v>
      </c>
      <c r="R2" s="5"/>
      <c r="S2" s="2"/>
    </row>
    <row r="3" spans="1:19" ht="13.8" x14ac:dyDescent="0.25">
      <c r="A3" s="13" t="s">
        <v>3</v>
      </c>
      <c r="B3" s="22">
        <v>500000</v>
      </c>
      <c r="C3" s="22"/>
      <c r="G3" s="13" t="s">
        <v>4</v>
      </c>
      <c r="H3" s="19">
        <v>5.0000000000000001E-4</v>
      </c>
      <c r="I3" s="2"/>
      <c r="L3" s="6"/>
      <c r="M3" s="6"/>
      <c r="N3" s="2"/>
      <c r="P3" s="13" t="s">
        <v>5</v>
      </c>
      <c r="Q3" s="5">
        <f>Q1/360</f>
        <v>3.6782235115354425E-4</v>
      </c>
      <c r="R3" s="5"/>
      <c r="S3" s="2"/>
    </row>
    <row r="4" spans="1:19" x14ac:dyDescent="0.3">
      <c r="A4" s="13" t="s">
        <v>6</v>
      </c>
      <c r="B4" s="23">
        <v>0.125</v>
      </c>
      <c r="C4" s="23"/>
      <c r="G4" s="13" t="s">
        <v>7</v>
      </c>
      <c r="H4" s="15">
        <f>D17</f>
        <v>783.02130306692573</v>
      </c>
      <c r="I4" s="2"/>
      <c r="M4" s="7"/>
      <c r="P4" s="13" t="s">
        <v>8</v>
      </c>
      <c r="Q4" s="5">
        <f>XIRR(N10:N16,O10:O16)</f>
        <v>0.17441239953041079</v>
      </c>
      <c r="S4" s="2"/>
    </row>
    <row r="5" spans="1:19" x14ac:dyDescent="0.3">
      <c r="A5" s="13" t="s">
        <v>9</v>
      </c>
      <c r="B5" s="24">
        <v>4</v>
      </c>
      <c r="C5" s="24"/>
      <c r="G5" s="13" t="s">
        <v>10</v>
      </c>
      <c r="H5" s="9">
        <v>100</v>
      </c>
      <c r="J5" s="2"/>
      <c r="K5" s="6"/>
      <c r="L5" s="6"/>
      <c r="M5" s="6"/>
      <c r="P5" s="14" t="s">
        <v>11</v>
      </c>
      <c r="Q5" s="6">
        <f>B3*(IF($B$5&lt;12,$H$6,$H$6*$B$5/12))+H7</f>
        <v>2500</v>
      </c>
      <c r="R5" s="8">
        <f>Q5*1.18</f>
        <v>2950</v>
      </c>
      <c r="S5" s="2"/>
    </row>
    <row r="6" spans="1:19" x14ac:dyDescent="0.3">
      <c r="A6" s="13" t="s">
        <v>12</v>
      </c>
      <c r="B6" s="21">
        <v>45883</v>
      </c>
      <c r="C6" s="21"/>
      <c r="G6" s="13" t="s">
        <v>13</v>
      </c>
      <c r="H6" s="4">
        <v>5.0000000000000001E-3</v>
      </c>
      <c r="J6" s="2"/>
      <c r="K6" s="6"/>
      <c r="L6" s="6"/>
      <c r="M6" s="6"/>
      <c r="P6" s="14" t="s">
        <v>14</v>
      </c>
      <c r="Q6" s="6">
        <f>F17</f>
        <v>20017.784858237148</v>
      </c>
      <c r="R6" s="8">
        <f>Q6*1.18</f>
        <v>23620.986132719834</v>
      </c>
      <c r="S6" s="2"/>
    </row>
    <row r="7" spans="1:19" x14ac:dyDescent="0.3">
      <c r="A7" s="13" t="s">
        <v>15</v>
      </c>
      <c r="B7" s="17" t="s">
        <v>16</v>
      </c>
      <c r="C7" s="18"/>
      <c r="G7" s="13" t="s">
        <v>17</v>
      </c>
      <c r="H7" s="9">
        <v>0</v>
      </c>
      <c r="J7" s="2"/>
      <c r="K7" s="11"/>
      <c r="L7" s="11"/>
      <c r="M7" s="11"/>
      <c r="P7" s="13" t="s">
        <v>18</v>
      </c>
      <c r="Q7" s="11">
        <f>Q5+Q6</f>
        <v>22517.784858237148</v>
      </c>
      <c r="R7" s="8">
        <f>Q7*1.18</f>
        <v>26570.986132719834</v>
      </c>
      <c r="S7" s="2"/>
    </row>
    <row r="8" spans="1:19" x14ac:dyDescent="0.3">
      <c r="B8" s="1" t="s">
        <v>19</v>
      </c>
      <c r="L8" s="6"/>
    </row>
    <row r="9" spans="1:19" x14ac:dyDescent="0.3">
      <c r="N9" s="1" t="s">
        <v>20</v>
      </c>
      <c r="P9" s="13" t="s">
        <v>21</v>
      </c>
      <c r="Q9" s="3">
        <v>0.18</v>
      </c>
    </row>
    <row r="10" spans="1:19" ht="13.8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33</v>
      </c>
      <c r="M10" s="2" t="s">
        <v>34</v>
      </c>
      <c r="N10" s="6">
        <f>-B3</f>
        <v>-500000</v>
      </c>
      <c r="O10" s="12">
        <f>B6</f>
        <v>45883</v>
      </c>
      <c r="P10" s="13" t="s">
        <v>35</v>
      </c>
      <c r="Q10" s="6">
        <f>L17</f>
        <v>4053.2012744826766</v>
      </c>
      <c r="R10" s="1"/>
      <c r="S10" s="2"/>
    </row>
    <row r="11" spans="1:19" ht="13.8" x14ac:dyDescent="0.25">
      <c r="A11" s="1">
        <v>0</v>
      </c>
      <c r="B11" s="12">
        <f>B6</f>
        <v>45883</v>
      </c>
      <c r="C11" s="2"/>
      <c r="D11" s="2"/>
      <c r="E11" s="2"/>
      <c r="F11" s="2"/>
      <c r="G11" s="6">
        <v>0</v>
      </c>
      <c r="H11" s="6"/>
      <c r="I11" s="6"/>
      <c r="J11" s="6"/>
      <c r="K11" s="6"/>
      <c r="L11" s="6">
        <f>(G11)*Q9</f>
        <v>0</v>
      </c>
      <c r="M11" s="6">
        <f>G11+L11</f>
        <v>0</v>
      </c>
      <c r="N11" s="6">
        <f>G11</f>
        <v>0</v>
      </c>
      <c r="O11" s="12">
        <f t="shared" ref="O11:O16" si="0">B11</f>
        <v>45883</v>
      </c>
      <c r="R11" s="1"/>
      <c r="S11" s="2"/>
    </row>
    <row r="12" spans="1:19" x14ac:dyDescent="0.3">
      <c r="A12" s="1">
        <v>1</v>
      </c>
      <c r="B12" s="10">
        <v>45920</v>
      </c>
      <c r="C12" s="6">
        <f>B3*(IF($B$5&lt;12,1+$H$6,1+$H$6*$B$5/12))</f>
        <v>502499.99999999994</v>
      </c>
      <c r="D12" s="6">
        <f>C12*$H$3</f>
        <v>251.24999999999997</v>
      </c>
      <c r="E12" s="6">
        <f>C12*(B12-$B$11)*$Q$3+$H$5</f>
        <v>6938.7370638222701</v>
      </c>
      <c r="F12" s="6">
        <f>D12+E12</f>
        <v>7189.9870638222701</v>
      </c>
      <c r="G12" s="9">
        <v>100000</v>
      </c>
      <c r="H12" s="6">
        <f>IF(G12&gt;0,IF(G12&gt;F12,F12,G12),0)</f>
        <v>7189.9870638222701</v>
      </c>
      <c r="I12" s="6">
        <f>IF(H12=G12,0,G12-H12)</f>
        <v>92810.012936177736</v>
      </c>
      <c r="J12" s="6">
        <f>F12-H12-I12</f>
        <v>-92810.012936177736</v>
      </c>
      <c r="K12" s="6">
        <f>C12+J12</f>
        <v>409689.98706382222</v>
      </c>
      <c r="L12" s="6">
        <f>(F12)*$Q$9+(C12-B3)*Q9</f>
        <v>1744.1976714879982</v>
      </c>
      <c r="M12" s="6">
        <f>IF(G12=0,L12,G12+L12)</f>
        <v>101744.197671488</v>
      </c>
      <c r="N12" s="6">
        <f t="shared" ref="N12:N16" si="1">G12</f>
        <v>100000</v>
      </c>
      <c r="O12" s="12">
        <f t="shared" si="0"/>
        <v>45920</v>
      </c>
      <c r="P12" s="20">
        <f>H12*1.18</f>
        <v>8484.1847353102785</v>
      </c>
    </row>
    <row r="13" spans="1:19" ht="13.5" customHeight="1" x14ac:dyDescent="0.3">
      <c r="A13" s="1">
        <v>2</v>
      </c>
      <c r="B13" s="10">
        <v>45950</v>
      </c>
      <c r="C13" s="6">
        <f>K12</f>
        <v>409689.98706382222</v>
      </c>
      <c r="D13" s="6">
        <f t="shared" ref="D13:D16" si="2">C13*$H$3</f>
        <v>204.84499353191111</v>
      </c>
      <c r="E13" s="6">
        <f t="shared" ref="E13" si="3">C13*(B13-B12)*$Q$3+$H$5</f>
        <v>4620.7940285764062</v>
      </c>
      <c r="F13" s="6">
        <f t="shared" ref="F13" si="4">D13+E13</f>
        <v>4825.6390221083175</v>
      </c>
      <c r="G13" s="9">
        <v>100000</v>
      </c>
      <c r="H13" s="6">
        <f t="shared" ref="H13:H16" si="5">IF(G13&gt;0,IF(G13&gt;F13,F13,G13),0)</f>
        <v>4825.6390221083175</v>
      </c>
      <c r="I13" s="6">
        <f t="shared" ref="I13:I16" si="6">IF(H13=G13,0,G13-H13)</f>
        <v>95174.360977891687</v>
      </c>
      <c r="J13" s="6">
        <f t="shared" ref="J13:J16" si="7">F13-H13-I13</f>
        <v>-95174.360977891687</v>
      </c>
      <c r="K13" s="6">
        <f t="shared" ref="K13:K16" si="8">C13+J13</f>
        <v>314515.6260859305</v>
      </c>
      <c r="L13" s="6">
        <f t="shared" ref="L13:L16" si="9">(F13)*$Q$9</f>
        <v>868.6150239794971</v>
      </c>
      <c r="M13" s="6">
        <f>IF(G13=0,L13,G13+L13)</f>
        <v>100868.6150239795</v>
      </c>
      <c r="N13" s="6">
        <f t="shared" si="1"/>
        <v>100000</v>
      </c>
      <c r="O13" s="12">
        <f t="shared" si="0"/>
        <v>45950</v>
      </c>
      <c r="P13" s="20">
        <f t="shared" ref="P13:P16" si="10">H13*1.18</f>
        <v>5694.2540460878145</v>
      </c>
    </row>
    <row r="14" spans="1:19" ht="13.5" customHeight="1" x14ac:dyDescent="0.3">
      <c r="A14" s="1">
        <v>3</v>
      </c>
      <c r="B14" s="10">
        <v>45981</v>
      </c>
      <c r="C14" s="6">
        <f>K13</f>
        <v>314515.6260859305</v>
      </c>
      <c r="D14" s="6">
        <f>C14*$H$3</f>
        <v>157.25781304296527</v>
      </c>
      <c r="E14" s="6">
        <f>C14*(B14-B13)*$Q$3+$H$5</f>
        <v>3686.2621889051347</v>
      </c>
      <c r="F14" s="6">
        <f t="shared" ref="F14:F16" si="11">D14+E14</f>
        <v>3843.5200019480999</v>
      </c>
      <c r="G14" s="9">
        <v>100000</v>
      </c>
      <c r="H14" s="6">
        <f t="shared" ref="H14:H15" si="12">IF(G14&gt;0,IF(G14&gt;F14,F14,G14),0)</f>
        <v>3843.5200019480999</v>
      </c>
      <c r="I14" s="6">
        <f t="shared" ref="I14:I15" si="13">IF(H14=G14,0,G14-H14)</f>
        <v>96156.479998051902</v>
      </c>
      <c r="J14" s="6">
        <f t="shared" ref="J14:J15" si="14">F14-H14-I14</f>
        <v>-96156.479998051902</v>
      </c>
      <c r="K14" s="6">
        <f t="shared" ref="K14:K15" si="15">C14+J14</f>
        <v>218359.14608787862</v>
      </c>
      <c r="L14" s="6">
        <f t="shared" ref="L14:L15" si="16">(F14)*$Q$9</f>
        <v>691.833600350658</v>
      </c>
      <c r="M14" s="6">
        <f t="shared" ref="M14" si="17">IF(G14=0,L14,G14+L14)</f>
        <v>100691.83360035066</v>
      </c>
      <c r="N14" s="6">
        <f t="shared" ref="N14:N15" si="18">G14</f>
        <v>100000</v>
      </c>
      <c r="O14" s="12">
        <f t="shared" ref="O14:O15" si="19">B14</f>
        <v>45981</v>
      </c>
      <c r="P14" s="20">
        <f t="shared" si="10"/>
        <v>4535.3536022987573</v>
      </c>
    </row>
    <row r="15" spans="1:19" ht="13.5" customHeight="1" x14ac:dyDescent="0.3">
      <c r="A15" s="1">
        <v>4</v>
      </c>
      <c r="B15" s="10">
        <v>46011</v>
      </c>
      <c r="C15" s="6">
        <f>K14</f>
        <v>218359.14608787862</v>
      </c>
      <c r="D15" s="6">
        <f>C15*$H$3</f>
        <v>109.17957304393931</v>
      </c>
      <c r="E15" s="6">
        <f>C15*(B15-B14)*$Q$3+$H$5</f>
        <v>2509.5212352977128</v>
      </c>
      <c r="F15" s="6">
        <f t="shared" si="11"/>
        <v>2618.7008083416522</v>
      </c>
      <c r="G15" s="9">
        <v>100000</v>
      </c>
      <c r="H15" s="6">
        <f t="shared" si="12"/>
        <v>2618.7008083416522</v>
      </c>
      <c r="I15" s="6">
        <f t="shared" si="13"/>
        <v>97381.299191658341</v>
      </c>
      <c r="J15" s="6">
        <f t="shared" si="14"/>
        <v>-97381.299191658341</v>
      </c>
      <c r="K15" s="6">
        <f t="shared" si="15"/>
        <v>120977.84689622028</v>
      </c>
      <c r="L15" s="6">
        <f t="shared" si="16"/>
        <v>471.36614550149739</v>
      </c>
      <c r="M15" s="6">
        <f>IF(G15=0,L15,G15+L15)</f>
        <v>100471.3661455015</v>
      </c>
      <c r="N15" s="6">
        <f t="shared" si="18"/>
        <v>100000</v>
      </c>
      <c r="O15" s="12">
        <f t="shared" si="19"/>
        <v>46011</v>
      </c>
      <c r="P15" s="20">
        <f t="shared" ref="P15" si="20">H15*1.18</f>
        <v>3090.0669538431493</v>
      </c>
    </row>
    <row r="16" spans="1:19" ht="13.5" customHeight="1" x14ac:dyDescent="0.25">
      <c r="A16" s="1">
        <v>5</v>
      </c>
      <c r="B16" s="10">
        <v>46042</v>
      </c>
      <c r="C16" s="6">
        <f>K15</f>
        <v>120977.84689622028</v>
      </c>
      <c r="D16" s="6">
        <f t="shared" si="2"/>
        <v>60.488923448110135</v>
      </c>
      <c r="E16" s="6">
        <f>C16*(B16-B15)*$Q$3+$H$5</f>
        <v>1479.4490385686986</v>
      </c>
      <c r="F16" s="6">
        <f t="shared" si="11"/>
        <v>1539.9379620168088</v>
      </c>
      <c r="G16" s="9">
        <f>C16+F16</f>
        <v>122517.78485823708</v>
      </c>
      <c r="H16" s="6">
        <f t="shared" si="5"/>
        <v>1539.9379620168088</v>
      </c>
      <c r="I16" s="6">
        <f t="shared" si="6"/>
        <v>120977.84689622028</v>
      </c>
      <c r="J16" s="6">
        <f t="shared" si="7"/>
        <v>-120977.84689622028</v>
      </c>
      <c r="K16" s="6">
        <f t="shared" si="8"/>
        <v>0</v>
      </c>
      <c r="L16" s="6">
        <f t="shared" si="9"/>
        <v>277.18883316302555</v>
      </c>
      <c r="M16" s="6">
        <f>IF(G16=0,L16,G16+L16)</f>
        <v>122794.97369140011</v>
      </c>
      <c r="N16" s="6">
        <f t="shared" si="1"/>
        <v>122517.78485823708</v>
      </c>
      <c r="O16" s="12">
        <f t="shared" si="0"/>
        <v>46042</v>
      </c>
      <c r="P16" s="20">
        <f t="shared" si="10"/>
        <v>1817.1267951798343</v>
      </c>
      <c r="R16" s="1"/>
    </row>
    <row r="17" spans="3:16" x14ac:dyDescent="0.3">
      <c r="C17" s="6"/>
      <c r="D17" s="6">
        <f>SUM(D12:D16)</f>
        <v>783.02130306692573</v>
      </c>
      <c r="E17" s="6">
        <f>SUM(E12:E16)</f>
        <v>19234.763555170222</v>
      </c>
      <c r="F17" s="6">
        <f>SUM(F12:F16)</f>
        <v>20017.784858237148</v>
      </c>
      <c r="G17" s="6">
        <f>SUM(G11:G16)</f>
        <v>522517.78485823708</v>
      </c>
      <c r="H17" s="6">
        <f>SUM(H11:H16)</f>
        <v>20017.784858237148</v>
      </c>
      <c r="I17" s="6">
        <f>SUM(I11:I16)</f>
        <v>502499.99999999994</v>
      </c>
      <c r="J17" s="6">
        <f>SUM(J11:J16)</f>
        <v>-502499.99999999994</v>
      </c>
      <c r="K17" s="6"/>
      <c r="L17" s="6">
        <f>SUM(L11:L16)</f>
        <v>4053.2012744826766</v>
      </c>
      <c r="M17" s="6">
        <f>SUM(M11:M16)</f>
        <v>526570.98613271979</v>
      </c>
      <c r="N17" s="6"/>
      <c r="O17" s="6"/>
    </row>
    <row r="18" spans="3:16" x14ac:dyDescent="0.3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0">
        <f>SUM(P12:P17)</f>
        <v>23620.986132719834</v>
      </c>
    </row>
    <row r="19" spans="3:16" x14ac:dyDescent="0.3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3:16" x14ac:dyDescent="0.3">
      <c r="C20" s="1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3:16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3:16" x14ac:dyDescent="0.3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3:16" x14ac:dyDescent="0.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3:16" x14ac:dyDescent="0.3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3:16" x14ac:dyDescent="0.3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3:16" x14ac:dyDescent="0.3"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629046</v>
      </c>
    </row>
    <row r="27" spans="3:16" x14ac:dyDescent="0.3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3:16" x14ac:dyDescent="0.3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3:16" x14ac:dyDescent="0.3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3:16" x14ac:dyDescent="0.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3:16" x14ac:dyDescent="0.3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3:16" x14ac:dyDescent="0.3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3:13" x14ac:dyDescent="0.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3:13" x14ac:dyDescent="0.3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3:13" x14ac:dyDescent="0.3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3:13" x14ac:dyDescent="0.3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3:13" x14ac:dyDescent="0.3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3:13" x14ac:dyDescent="0.3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3:13" x14ac:dyDescent="0.3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3:13" x14ac:dyDescent="0.3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3:13" x14ac:dyDescent="0.3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3:13" x14ac:dyDescent="0.3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3:13" x14ac:dyDescent="0.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3:13" x14ac:dyDescent="0.3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3:13" x14ac:dyDescent="0.3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3:13" x14ac:dyDescent="0.3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3:13" x14ac:dyDescent="0.3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3:13" x14ac:dyDescent="0.3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3:13" x14ac:dyDescent="0.3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3:13" x14ac:dyDescent="0.3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3:13" x14ac:dyDescent="0.3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3:13" x14ac:dyDescent="0.3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3:13" x14ac:dyDescent="0.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3:13" x14ac:dyDescent="0.3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13" x14ac:dyDescent="0.3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13" x14ac:dyDescent="0.3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5">
    <mergeCell ref="B6:C6"/>
    <mergeCell ref="B3:C3"/>
    <mergeCell ref="B4:C4"/>
    <mergeCell ref="B5:C5"/>
    <mergeCell ref="A1:M1"/>
  </mergeCells>
  <conditionalFormatting sqref="H11:I16 L11:M16 E12:F16">
    <cfRule type="cellIs" dxfId="0" priority="2" operator="lessThan">
      <formula>0</formula>
    </cfRule>
  </conditionalFormatting>
  <pageMargins left="0.7" right="0.7" top="0.75" bottom="0.75" header="0.3" footer="0.3"/>
  <pageSetup paperSize="9" scale="63" orientation="landscape" r:id="rId1"/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1d42f3-dd0e-4c51-9908-bf280552a433">
      <Terms xmlns="http://schemas.microsoft.com/office/infopath/2007/PartnerControls"/>
    </lcf76f155ced4ddcb4097134ff3c332f>
    <TaxCatchAll xmlns="6970c6a9-e3b3-453d-be98-ce75718ef5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127E442BE6A8640A103D8C04EBA997C" ma:contentTypeVersion="12" ma:contentTypeDescription="צור מסמך חדש." ma:contentTypeScope="" ma:versionID="b8af619034e25d39bb014f3b678b8aad">
  <xsd:schema xmlns:xsd="http://www.w3.org/2001/XMLSchema" xmlns:xs="http://www.w3.org/2001/XMLSchema" xmlns:p="http://schemas.microsoft.com/office/2006/metadata/properties" xmlns:ns2="4b1d42f3-dd0e-4c51-9908-bf280552a433" xmlns:ns3="6970c6a9-e3b3-453d-be98-ce75718ef501" targetNamespace="http://schemas.microsoft.com/office/2006/metadata/properties" ma:root="true" ma:fieldsID="904530d10135d269f177a341a39e765a" ns2:_="" ns3:_="">
    <xsd:import namespace="4b1d42f3-dd0e-4c51-9908-bf280552a433"/>
    <xsd:import namespace="6970c6a9-e3b3-453d-be98-ce75718ef50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d42f3-dd0e-4c51-9908-bf280552a4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תגיות תמונה" ma:readOnly="false" ma:fieldId="{5cf76f15-5ced-4ddc-b409-7134ff3c332f}" ma:taxonomyMulti="true" ma:sspId="70e9e203-cfc6-49eb-b1c6-93c51ab65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0c6a9-e3b3-453d-be98-ce75718ef50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e452a37-d905-4167-95b7-61db470e31d6}" ma:internalName="TaxCatchAll" ma:showField="CatchAllData" ma:web="6970c6a9-e3b3-453d-be98-ce75718ef5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04F6D-08D9-43E5-AB84-66639DC9060E}">
  <ds:schemaRefs>
    <ds:schemaRef ds:uri="http://www.w3.org/XML/1998/namespace"/>
    <ds:schemaRef ds:uri="http://schemas.microsoft.com/office/infopath/2007/PartnerControls"/>
    <ds:schemaRef ds:uri="6970c6a9-e3b3-453d-be98-ce75718ef501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4b1d42f3-dd0e-4c51-9908-bf280552a43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C2C546-A4D9-40D3-A416-65B5174A2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1d42f3-dd0e-4c51-9908-bf280552a433"/>
    <ds:schemaRef ds:uri="6970c6a9-e3b3-453d-be98-ce75718ef5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65BFE4-FF34-40E3-B28F-7453C21A7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לוח סילוקין מעודכן</vt:lpstr>
      <vt:lpstr>'לוח סילוקין מעודכן'!Print_Area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Elad Levi-Meori</dc:creator>
  <cp:keywords/>
  <dc:description/>
  <cp:lastModifiedBy>Avraham Shakargi</cp:lastModifiedBy>
  <cp:revision/>
  <cp:lastPrinted>2025-06-18T10:23:15Z</cp:lastPrinted>
  <dcterms:created xsi:type="dcterms:W3CDTF">2023-11-19T13:48:41Z</dcterms:created>
  <dcterms:modified xsi:type="dcterms:W3CDTF">2026-03-18T12:57:34Z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0x0101000127E442BE6A8640A103D8C04EBA997C</vt:lpwstr>
  </property>
  <property fmtid="{D5CDD505-2E9C-101B-9397-08002B2CF9AE}" pid="3" name="Order">
    <vt:r8>17951800</vt:r8>
  </property>
  <property fmtid="{D5CDD505-2E9C-101B-9397-08002B2CF9AE}" pid="4" name="MediaServiceImageTags">
    <vt:lpwstr/>
  </property>
</Properties>
</file>